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  <sheet name="HR Summary &amp; KPIs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B365D"/>
      <sz val="16"/>
    </font>
    <font>
      <name val="Segoe UI"/>
      <b val="1"/>
      <color rgb="00595959"/>
      <sz val="9"/>
    </font>
    <font>
      <name val="Segoe UI"/>
      <b val="1"/>
      <color rgb="001B365D"/>
      <sz val="14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0F4F8"/>
      </patternFill>
    </fill>
    <fill>
      <patternFill patternType="solid">
        <fgColor rgb="002E6B9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right"/>
    </xf>
    <xf numFmtId="0" fontId="6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Employees &amp; Attrition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'Dashboard'!C30</f>
            </strRef>
          </tx>
          <spPr>
            <a:ln>
              <a:prstDash val="solid"/>
            </a:ln>
          </spPr>
          <cat>
            <numRef>
              <f>'Dashboard'!$B$31:$B$33</f>
            </numRef>
          </cat>
          <val>
            <numRef>
              <f>'Dashboard'!$C$31:$C$33</f>
            </numRef>
          </val>
        </ser>
        <ser>
          <idx val="1"/>
          <order val="1"/>
          <tx>
            <strRef>
              <f>'Dashboard'!D30</f>
            </strRef>
          </tx>
          <spPr>
            <a:ln>
              <a:prstDash val="solid"/>
            </a:ln>
          </spPr>
          <cat>
            <numRef>
              <f>'Dashboard'!$B$31:$B$33</f>
            </numRef>
          </cat>
          <val>
            <numRef>
              <f>'Dashboard'!$D$31:$D$33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Workforce Status (Attrition %)</a:t>
            </a:r>
          </a:p>
        </rich>
      </tx>
    </title>
    <plotArea>
      <pieChart>
        <varyColors val="1"/>
        <ser>
          <idx val="0"/>
          <order val="0"/>
          <tx>
            <strRef>
              <f>'Dashboard'!H30</f>
            </strRef>
          </tx>
          <spPr>
            <a:ln>
              <a:prstDash val="solid"/>
            </a:ln>
          </spPr>
          <cat>
            <numRef>
              <f>'Dashboard'!$G$31:$G$32</f>
            </numRef>
          </cat>
          <val>
            <numRef>
              <f>'Dashboard'!$H$31:$H$32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25" customWidth="1" min="5" max="5"/>
    <col width="19" customWidth="1" min="6" max="6"/>
    <col width="12" customWidth="1" min="7" max="7"/>
    <col width="19" customWidth="1" min="8" max="8"/>
    <col width="16" customWidth="1" min="9" max="9"/>
    <col width="17" customWidth="1" min="10" max="10"/>
    <col width="26" customWidth="1" min="11" max="11"/>
    <col width="11" customWidth="1" min="12" max="12"/>
    <col width="13" customWidth="1" min="13" max="13"/>
    <col width="17" customWidth="1" min="14" max="14"/>
    <col width="11" customWidth="1" min="15" max="15"/>
    <col width="28" customWidth="1" min="16" max="16"/>
    <col width="18" customWidth="1" min="17" max="17"/>
    <col width="16" customWidth="1" min="18" max="18"/>
    <col width="16" customWidth="1" min="19" max="19"/>
    <col width="14" customWidth="1" min="20" max="20"/>
    <col width="21" customWidth="1" min="21" max="21"/>
    <col width="11" customWidth="1" min="22" max="22"/>
    <col width="11" customWidth="1" min="23" max="23"/>
    <col width="20" customWidth="1" min="24" max="24"/>
    <col width="20" customWidth="1" min="25" max="25"/>
    <col width="27" customWidth="1" min="26" max="26"/>
    <col width="16" customWidth="1" min="27" max="27"/>
    <col width="19" customWidth="1" min="28" max="28"/>
    <col width="20" customWidth="1" min="29" max="29"/>
    <col width="24" customWidth="1" min="30" max="30"/>
    <col width="18" customWidth="1" min="31" max="31"/>
    <col width="17" customWidth="1" min="32" max="32"/>
    <col width="21" customWidth="1" min="33" max="33"/>
    <col width="26" customWidth="1" min="34" max="34"/>
    <col width="23" customWidth="1" min="35" max="35"/>
  </cols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25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2" t="inlineStr">
        <is>
          <t>IBM HR Analytics — Workforce &amp; Attrition Summary</t>
        </is>
      </c>
    </row>
    <row r="4">
      <c r="B4" s="3" t="inlineStr">
        <is>
          <t>Total Headcount</t>
        </is>
      </c>
      <c r="D4" s="3" t="inlineStr">
        <is>
          <t>Total Attrition</t>
        </is>
      </c>
      <c r="F4" s="3" t="inlineStr">
        <is>
          <t>Attrition Rate</t>
        </is>
      </c>
      <c r="H4" s="3" t="inlineStr">
        <is>
          <t>Avg Monthly Income</t>
        </is>
      </c>
      <c r="J4" s="3" t="inlineStr">
        <is>
          <t>Avg Age</t>
        </is>
      </c>
    </row>
    <row r="5">
      <c r="B5" s="4" t="inlineStr">
        <is>
          <t>1,470</t>
        </is>
      </c>
      <c r="D5" s="4" t="inlineStr">
        <is>
          <t>237</t>
        </is>
      </c>
      <c r="F5" s="4" t="inlineStr">
        <is>
          <t>16.1%</t>
        </is>
      </c>
      <c r="H5" s="4" t="inlineStr">
        <is>
          <t>$6,503</t>
        </is>
      </c>
      <c r="J5" s="4" t="inlineStr">
        <is>
          <t>36.9 yrs</t>
        </is>
      </c>
    </row>
    <row r="8">
      <c r="B8" s="5" t="inlineStr">
        <is>
          <t>Department Attrition Analysis</t>
        </is>
      </c>
      <c r="I8" s="5" t="inlineStr">
        <is>
          <t>OverTime vs Attrition</t>
        </is>
      </c>
    </row>
    <row r="9">
      <c r="B9" s="6" t="inlineStr">
        <is>
          <t>Department</t>
        </is>
      </c>
      <c r="C9" s="6" t="inlineStr">
        <is>
          <t>Headcount</t>
        </is>
      </c>
      <c r="D9" s="6" t="inlineStr">
        <is>
          <t>Active</t>
        </is>
      </c>
      <c r="E9" s="6" t="inlineStr">
        <is>
          <t>Attrition</t>
        </is>
      </c>
      <c r="F9" s="6" t="inlineStr">
        <is>
          <t>Attrition Rate %</t>
        </is>
      </c>
      <c r="G9" s="6" t="inlineStr">
        <is>
          <t>Avg Monthly Income</t>
        </is>
      </c>
      <c r="I9" s="6" t="inlineStr">
        <is>
          <t>OverTime</t>
        </is>
      </c>
      <c r="J9" s="6" t="inlineStr">
        <is>
          <t>Headcount</t>
        </is>
      </c>
      <c r="K9" s="6" t="inlineStr">
        <is>
          <t>Attrition</t>
        </is>
      </c>
      <c r="L9" s="6" t="inlineStr">
        <is>
          <t>Attrition %</t>
        </is>
      </c>
    </row>
    <row r="10">
      <c r="A10" t="inlineStr"/>
      <c r="B10" s="7" t="inlineStr">
        <is>
          <t>Human Resources</t>
        </is>
      </c>
      <c r="C10" s="8" t="n">
        <v>63</v>
      </c>
      <c r="D10" s="8" t="n">
        <v>51</v>
      </c>
      <c r="E10" s="8" t="n">
        <v>12</v>
      </c>
      <c r="F10" s="8" t="n">
        <v>19</v>
      </c>
      <c r="G10" s="8" t="n">
        <v>6655</v>
      </c>
      <c r="I10" s="7" t="inlineStr">
        <is>
          <t>Overtime: No</t>
        </is>
      </c>
      <c r="J10" s="8" t="n">
        <v>1054</v>
      </c>
      <c r="K10" s="8" t="n">
        <v>110</v>
      </c>
      <c r="L10" s="8" t="inlineStr">
        <is>
          <t>10.4%</t>
        </is>
      </c>
    </row>
    <row r="11">
      <c r="A11" t="inlineStr"/>
      <c r="B11" s="7" t="inlineStr">
        <is>
          <t>Research &amp; Development</t>
        </is>
      </c>
      <c r="C11" s="8" t="n">
        <v>961</v>
      </c>
      <c r="D11" s="8" t="n">
        <v>828</v>
      </c>
      <c r="E11" s="8" t="n">
        <v>133</v>
      </c>
      <c r="F11" s="8" t="n">
        <v>13.8</v>
      </c>
      <c r="G11" s="8" t="n">
        <v>6281</v>
      </c>
      <c r="I11" s="7" t="inlineStr">
        <is>
          <t>Overtime: Yes</t>
        </is>
      </c>
      <c r="J11" s="8" t="n">
        <v>416</v>
      </c>
      <c r="K11" s="8" t="n">
        <v>127</v>
      </c>
      <c r="L11" s="8" t="inlineStr">
        <is>
          <t>30.5%</t>
        </is>
      </c>
    </row>
    <row r="12">
      <c r="A12" t="inlineStr"/>
      <c r="B12" s="7" t="inlineStr">
        <is>
          <t>Sales</t>
        </is>
      </c>
      <c r="C12" s="8" t="n">
        <v>446</v>
      </c>
      <c r="D12" s="8" t="n">
        <v>354</v>
      </c>
      <c r="E12" s="8" t="n">
        <v>92</v>
      </c>
      <c r="F12" s="8" t="n">
        <v>20.6</v>
      </c>
      <c r="G12" s="8" t="n">
        <v>6959</v>
      </c>
    </row>
    <row r="15">
      <c r="B15" s="5" t="inlineStr">
        <is>
          <t>Job Role Attrition Breakdown</t>
        </is>
      </c>
    </row>
    <row r="16">
      <c r="B16" s="9" t="inlineStr">
        <is>
          <t>Job Role</t>
        </is>
      </c>
      <c r="C16" s="9" t="inlineStr">
        <is>
          <t>Total Employees</t>
        </is>
      </c>
      <c r="D16" s="9" t="inlineStr">
        <is>
          <t>Attrition</t>
        </is>
      </c>
      <c r="E16" s="9" t="inlineStr">
        <is>
          <t>Attrition Rate %</t>
        </is>
      </c>
      <c r="F16" s="9" t="inlineStr">
        <is>
          <t>Avg Income ($)</t>
        </is>
      </c>
    </row>
    <row r="17">
      <c r="B17" s="7" t="inlineStr">
        <is>
          <t>Sales Executive</t>
        </is>
      </c>
      <c r="C17" s="8" t="n">
        <v>326</v>
      </c>
      <c r="D17" s="8" t="n">
        <v>57</v>
      </c>
      <c r="E17" s="8" t="inlineStr">
        <is>
          <t>17.5%</t>
        </is>
      </c>
      <c r="F17" s="8" t="inlineStr">
        <is>
          <t>$6,924</t>
        </is>
      </c>
    </row>
    <row r="18">
      <c r="B18" s="7" t="inlineStr">
        <is>
          <t>Research Scientist</t>
        </is>
      </c>
      <c r="C18" s="8" t="n">
        <v>292</v>
      </c>
      <c r="D18" s="8" t="n">
        <v>47</v>
      </c>
      <c r="E18" s="8" t="inlineStr">
        <is>
          <t>16.1%</t>
        </is>
      </c>
      <c r="F18" s="8" t="inlineStr">
        <is>
          <t>$3,240</t>
        </is>
      </c>
    </row>
    <row r="19">
      <c r="B19" s="7" t="inlineStr">
        <is>
          <t>Laboratory Technician</t>
        </is>
      </c>
      <c r="C19" s="8" t="n">
        <v>259</v>
      </c>
      <c r="D19" s="8" t="n">
        <v>62</v>
      </c>
      <c r="E19" s="8" t="inlineStr">
        <is>
          <t>23.9%</t>
        </is>
      </c>
      <c r="F19" s="8" t="inlineStr">
        <is>
          <t>$3,237</t>
        </is>
      </c>
    </row>
    <row r="20">
      <c r="B20" s="7" t="inlineStr">
        <is>
          <t>Manufacturing Director</t>
        </is>
      </c>
      <c r="C20" s="8" t="n">
        <v>145</v>
      </c>
      <c r="D20" s="8" t="n">
        <v>10</v>
      </c>
      <c r="E20" s="8" t="inlineStr">
        <is>
          <t>6.9%</t>
        </is>
      </c>
      <c r="F20" s="8" t="inlineStr">
        <is>
          <t>$7,295</t>
        </is>
      </c>
    </row>
    <row r="21">
      <c r="B21" s="7" t="inlineStr">
        <is>
          <t>Healthcare Representative</t>
        </is>
      </c>
      <c r="C21" s="8" t="n">
        <v>131</v>
      </c>
      <c r="D21" s="8" t="n">
        <v>9</v>
      </c>
      <c r="E21" s="8" t="inlineStr">
        <is>
          <t>6.9%</t>
        </is>
      </c>
      <c r="F21" s="8" t="inlineStr">
        <is>
          <t>$7,529</t>
        </is>
      </c>
    </row>
    <row r="22">
      <c r="B22" s="7" t="inlineStr">
        <is>
          <t>Manager</t>
        </is>
      </c>
      <c r="C22" s="8" t="n">
        <v>102</v>
      </c>
      <c r="D22" s="8" t="n">
        <v>5</v>
      </c>
      <c r="E22" s="8" t="inlineStr">
        <is>
          <t>4.9%</t>
        </is>
      </c>
      <c r="F22" s="8" t="inlineStr">
        <is>
          <t>$17,182</t>
        </is>
      </c>
    </row>
    <row r="23">
      <c r="B23" s="7" t="inlineStr">
        <is>
          <t>Sales Representative</t>
        </is>
      </c>
      <c r="C23" s="8" t="n">
        <v>83</v>
      </c>
      <c r="D23" s="8" t="n">
        <v>33</v>
      </c>
      <c r="E23" s="8" t="inlineStr">
        <is>
          <t>39.8%</t>
        </is>
      </c>
      <c r="F23" s="8" t="inlineStr">
        <is>
          <t>$2,626</t>
        </is>
      </c>
    </row>
    <row r="24">
      <c r="B24" s="7" t="inlineStr">
        <is>
          <t>Research Director</t>
        </is>
      </c>
      <c r="C24" s="8" t="n">
        <v>80</v>
      </c>
      <c r="D24" s="8" t="n">
        <v>2</v>
      </c>
      <c r="E24" s="8" t="inlineStr">
        <is>
          <t>2.5%</t>
        </is>
      </c>
      <c r="F24" s="8" t="inlineStr">
        <is>
          <t>$16,034</t>
        </is>
      </c>
    </row>
    <row r="25">
      <c r="B25" s="7" t="inlineStr">
        <is>
          <t>Human Resources</t>
        </is>
      </c>
      <c r="C25" s="8" t="n">
        <v>52</v>
      </c>
      <c r="D25" s="8" t="n">
        <v>12</v>
      </c>
      <c r="E25" s="8" t="inlineStr">
        <is>
          <t>23.1%</t>
        </is>
      </c>
      <c r="F25" s="8" t="inlineStr">
        <is>
          <t>$4,236</t>
        </is>
      </c>
    </row>
  </sheetData>
  <mergeCells count="10">
    <mergeCell ref="F4:G4"/>
    <mergeCell ref="J4:K4"/>
    <mergeCell ref="J5:K5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1" workbookViewId="0">
      <selection activeCell="A1" sqref="A1"/>
    </sheetView>
  </sheetViews>
  <sheetFormatPr baseColWidth="8" defaultRowHeight="15"/>
  <sheetData>
    <row r="2">
      <c r="B2" s="2" t="inlineStr">
        <is>
          <t>HR Analytics &amp; Workforce Attrition Dashboard</t>
        </is>
      </c>
    </row>
    <row r="30">
      <c r="B30" t="inlineStr">
        <is>
          <t>Department</t>
        </is>
      </c>
      <c r="C30" t="inlineStr">
        <is>
          <t>Active</t>
        </is>
      </c>
      <c r="D30" t="inlineStr">
        <is>
          <t>Attrition</t>
        </is>
      </c>
      <c r="G30" t="inlineStr">
        <is>
          <t>Status</t>
        </is>
      </c>
      <c r="H30" t="inlineStr">
        <is>
          <t>Employees</t>
        </is>
      </c>
    </row>
    <row r="31">
      <c r="B31" t="inlineStr">
        <is>
          <t>Human Resources</t>
        </is>
      </c>
      <c r="C31" t="n">
        <v>51</v>
      </c>
      <c r="D31" t="n">
        <v>12</v>
      </c>
      <c r="G31" t="inlineStr">
        <is>
          <t>Active Employees</t>
        </is>
      </c>
      <c r="H31" t="n">
        <v>1233</v>
      </c>
    </row>
    <row r="32">
      <c r="B32" t="inlineStr">
        <is>
          <t>Research &amp; Development</t>
        </is>
      </c>
      <c r="C32" t="n">
        <v>828</v>
      </c>
      <c r="D32" t="n">
        <v>133</v>
      </c>
      <c r="G32" t="inlineStr">
        <is>
          <t>Attrited (Left)</t>
        </is>
      </c>
      <c r="H32" t="n">
        <v>237</v>
      </c>
    </row>
    <row r="33">
      <c r="B33" t="inlineStr">
        <is>
          <t>Sales</t>
        </is>
      </c>
      <c r="C33" t="n">
        <v>354</v>
      </c>
      <c r="D33" t="n">
        <v>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2026-10-29T03:12:17Z</dcterms:created>
  <dcterms:modified xsi:type="dcterms:W3CDTF">2026-10-29T03:12:17Z</dcterms:modified>
</cp:coreProperties>
</file>